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 toan" sheetId="1" state="visible" r:id="rId1"/>
    <sheet name="Thong so" sheetId="2" state="visible" r:id="rId2"/>
    <sheet name="Thong ke den" sheetId="3" state="visible" r:id="rId3"/>
    <sheet name="Boc day - 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C00000"/>
      <sz val="10"/>
    </font>
    <font>
      <name val="Arial"/>
      <color theme="1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3" fillId="0" borderId="1" pivotButton="0" quotePrefix="0" xfId="0"/>
    <xf numFmtId="166" fontId="3" fillId="0" borderId="1" pivotButton="0" quotePrefix="0" xfId="0"/>
    <xf numFmtId="0" fontId="8" fillId="0" borderId="0" pivotButton="0" quotePrefix="0" xfId="0"/>
    <xf numFmtId="0" fontId="4" fillId="0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7" customWidth="1" min="3" max="3"/>
    <col width="11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40" customWidth="1" min="10" max="10"/>
  </cols>
  <sheetData>
    <row r="1">
      <c r="A1" s="1" t="inlineStr">
        <is>
          <t>BẢNG DỰ TOÁN HỆ THỐNG ĐÈN EXIT - SỰ CỐ</t>
        </is>
      </c>
    </row>
    <row r="2">
      <c r="A2" s="2" t="inlineStr">
        <is>
          <t>Dự án: Nhà máy sản xuất dây đai và các sản phẩm về nhựa - SKD Invest. Nhập đơn giá (VNĐ) vào ô nền vàng, ví dụ 350000.</t>
        </is>
      </c>
    </row>
    <row r="4">
      <c r="A4" s="3" t="inlineStr">
        <is>
          <t>STT</t>
        </is>
      </c>
      <c r="B4" s="3" t="inlineStr">
        <is>
          <t>Nội dung công việc / vật tư</t>
        </is>
      </c>
      <c r="C4" s="3" t="inlineStr">
        <is>
          <t>ĐVT</t>
        </is>
      </c>
      <c r="D4" s="3" t="inlineStr">
        <is>
          <t>Khối lượng</t>
        </is>
      </c>
      <c r="E4" s="3" t="inlineStr">
        <is>
          <t>Đơn giá vật liệu (VNĐ)</t>
        </is>
      </c>
      <c r="F4" s="3" t="inlineStr">
        <is>
          <t>Đơn giá nhân công (VNĐ)</t>
        </is>
      </c>
      <c r="G4" s="3" t="inlineStr">
        <is>
          <t>Thành tiền vật liệu (VNĐ)</t>
        </is>
      </c>
      <c r="H4" s="3" t="inlineStr">
        <is>
          <t>Thành tiền nhân công (VNĐ)</t>
        </is>
      </c>
      <c r="I4" s="3" t="inlineStr">
        <is>
          <t>Tổng cộng (VNĐ)</t>
        </is>
      </c>
      <c r="J4" s="3" t="inlineStr">
        <is>
          <t>Nguồn khối lượng</t>
        </is>
      </c>
    </row>
    <row r="5">
      <c r="A5" s="4" t="inlineStr">
        <is>
          <t>A</t>
        </is>
      </c>
      <c r="B5" s="4" t="inlineStr">
        <is>
          <t>THIẾT BỊ ĐÈN</t>
        </is>
      </c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n">
        <v>1</v>
      </c>
      <c r="B6" s="7" t="inlineStr">
        <is>
          <t>Đèn chỉ dẫn thoát nạn 1 mặt không chỉ hướng</t>
        </is>
      </c>
      <c r="C6" s="6" t="inlineStr">
        <is>
          <t>Bộ</t>
        </is>
      </c>
      <c r="D6" s="8">
        <f>'Thong ke den'!C11</f>
        <v/>
      </c>
      <c r="E6" s="9" t="n"/>
      <c r="F6" s="9" t="n"/>
      <c r="G6" s="10">
        <f>D6*E6</f>
        <v/>
      </c>
      <c r="H6" s="10">
        <f>D6*F6</f>
        <v/>
      </c>
      <c r="I6" s="10">
        <f>G6+H6</f>
        <v/>
      </c>
      <c r="J6" s="7" t="inlineStr">
        <is>
          <t>Thống kê SC-02 đến SC-06</t>
        </is>
      </c>
    </row>
    <row r="7">
      <c r="A7" s="6" t="n">
        <v>2</v>
      </c>
      <c r="B7" s="7" t="inlineStr">
        <is>
          <t>Đèn chỉ dẫn thoát nạn 2 mặt chỉ 1 hướng</t>
        </is>
      </c>
      <c r="C7" s="6" t="inlineStr">
        <is>
          <t>Bộ</t>
        </is>
      </c>
      <c r="D7" s="8">
        <f>'Thong ke den'!D11</f>
        <v/>
      </c>
      <c r="E7" s="9" t="n"/>
      <c r="F7" s="9" t="n"/>
      <c r="G7" s="10">
        <f>D7*E7</f>
        <v/>
      </c>
      <c r="H7" s="10">
        <f>D7*F7</f>
        <v/>
      </c>
      <c r="I7" s="10">
        <f>G7+H7</f>
        <v/>
      </c>
      <c r="J7" s="7" t="inlineStr">
        <is>
          <t>Thống kê SC-02 đến SC-06</t>
        </is>
      </c>
    </row>
    <row r="8">
      <c r="A8" s="6" t="n">
        <v>3</v>
      </c>
      <c r="B8" s="7" t="inlineStr">
        <is>
          <t>Đèn chỉ dẫn thoát nạn 2 mặt chỉ 2 hướng</t>
        </is>
      </c>
      <c r="C8" s="6" t="inlineStr">
        <is>
          <t>Bộ</t>
        </is>
      </c>
      <c r="D8" s="8">
        <f>'Thong ke den'!E11</f>
        <v/>
      </c>
      <c r="E8" s="9" t="n"/>
      <c r="F8" s="9" t="n"/>
      <c r="G8" s="10">
        <f>D8*E8</f>
        <v/>
      </c>
      <c r="H8" s="10">
        <f>D8*F8</f>
        <v/>
      </c>
      <c r="I8" s="10">
        <f>G8+H8</f>
        <v/>
      </c>
      <c r="J8" s="7" t="inlineStr">
        <is>
          <t>Thống kê SC-02 đến SC-06</t>
        </is>
      </c>
    </row>
    <row r="9">
      <c r="A9" s="6" t="n">
        <v>4</v>
      </c>
      <c r="B9" s="7" t="inlineStr">
        <is>
          <t>Đèn chiếu sáng sự cố (EMG)</t>
        </is>
      </c>
      <c r="C9" s="6" t="inlineStr">
        <is>
          <t>Bộ</t>
        </is>
      </c>
      <c r="D9" s="8">
        <f>'Thong ke den'!G11</f>
        <v/>
      </c>
      <c r="E9" s="9" t="n"/>
      <c r="F9" s="9" t="n"/>
      <c r="G9" s="10">
        <f>D9*E9</f>
        <v/>
      </c>
      <c r="H9" s="10">
        <f>D9*F9</f>
        <v/>
      </c>
      <c r="I9" s="10">
        <f>G9+H9</f>
        <v/>
      </c>
      <c r="J9" s="7" t="inlineStr">
        <is>
          <t>Thống kê SC-02 đến SC-06</t>
        </is>
      </c>
    </row>
    <row r="10">
      <c r="A10" s="6" t="n">
        <v>5</v>
      </c>
      <c r="B10" s="7" t="inlineStr">
        <is>
          <t>Bảng sơ đồ chỉ dẫn thoát nạn (SĐCDTN)</t>
        </is>
      </c>
      <c r="C10" s="6" t="inlineStr">
        <is>
          <t>Bộ</t>
        </is>
      </c>
      <c r="D10" s="8">
        <f>'Thong ke den'!H11</f>
        <v/>
      </c>
      <c r="E10" s="9" t="n"/>
      <c r="F10" s="9" t="n"/>
      <c r="G10" s="10">
        <f>D10*E10</f>
        <v/>
      </c>
      <c r="H10" s="10">
        <f>D10*F10</f>
        <v/>
      </c>
      <c r="I10" s="10">
        <f>G10+H10</f>
        <v/>
      </c>
      <c r="J10" s="7" t="inlineStr">
        <is>
          <t>Thống kê SC-02, SC-03</t>
        </is>
      </c>
    </row>
    <row r="11">
      <c r="A11" s="4" t="inlineStr">
        <is>
          <t>B</t>
        </is>
      </c>
      <c r="B11" s="4" t="inlineStr">
        <is>
          <t>DÂY DẪN, ỐNG VÀ PHỤ KIỆN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n">
        <v>6</v>
      </c>
      <c r="B12" s="7" t="inlineStr">
        <is>
          <t>Dây cấp nguồn Cu 2x1,5mm²</t>
        </is>
      </c>
      <c r="C12" s="6" t="inlineStr">
        <is>
          <t>m</t>
        </is>
      </c>
      <c r="D12" s="8">
        <f>'Boc day - ong'!I13</f>
        <v/>
      </c>
      <c r="E12" s="9" t="n"/>
      <c r="F12" s="9" t="n"/>
      <c r="G12" s="10">
        <f>D12*E12</f>
        <v/>
      </c>
      <c r="H12" s="10">
        <f>D12*F12</f>
        <v/>
      </c>
      <c r="I12" s="10">
        <f>G12+H12</f>
        <v/>
      </c>
      <c r="J12" s="7" t="inlineStr">
        <is>
          <t>Bóc theo nét dây SC-02 đến SC-06, đã cộng hao hụt</t>
        </is>
      </c>
    </row>
    <row r="13">
      <c r="A13" s="6" t="n">
        <v>7</v>
      </c>
      <c r="B13" s="7" t="inlineStr">
        <is>
          <t>Ống nhựa PVC D20 luồn dây</t>
        </is>
      </c>
      <c r="C13" s="6" t="inlineStr">
        <is>
          <t>m</t>
        </is>
      </c>
      <c r="D13" s="8">
        <f>'Boc day - ong'!I15</f>
        <v/>
      </c>
      <c r="E13" s="9" t="n"/>
      <c r="F13" s="9" t="n"/>
      <c r="G13" s="10">
        <f>D13*E13</f>
        <v/>
      </c>
      <c r="H13" s="10">
        <f>D13*F13</f>
        <v/>
      </c>
      <c r="I13" s="10">
        <f>G13+H13</f>
        <v/>
      </c>
      <c r="J13" s="7" t="inlineStr">
        <is>
          <t>Bằng chiều dài dây, đã cộng hao hụt</t>
        </is>
      </c>
    </row>
    <row r="14">
      <c r="A14" s="6" t="n">
        <v>8</v>
      </c>
      <c r="B14" s="7" t="inlineStr">
        <is>
          <t>Aptomat 1P 10A cấp nguồn đèn EXIT - sự cố</t>
        </is>
      </c>
      <c r="C14" s="6" t="inlineStr">
        <is>
          <t>Cái</t>
        </is>
      </c>
      <c r="D14" s="11" t="n">
        <v>4</v>
      </c>
      <c r="E14" s="9" t="n"/>
      <c r="F14" s="9" t="n"/>
      <c r="G14" s="10">
        <f>D14*E14</f>
        <v/>
      </c>
      <c r="H14" s="10">
        <f>D14*F14</f>
        <v/>
      </c>
      <c r="I14" s="10">
        <f>G14+H14</f>
        <v/>
      </c>
      <c r="J14" s="7" t="inlineStr">
        <is>
          <t>Sơ đồ nguyên lý SC-01: 1 cái cho mỗi khối nhà</t>
        </is>
      </c>
    </row>
    <row r="15">
      <c r="A15" s="6" t="n">
        <v>9</v>
      </c>
      <c r="B15" s="7" t="inlineStr">
        <is>
          <t>Hộp đấu dây kỹ thuật</t>
        </is>
      </c>
      <c r="C15" s="6" t="inlineStr">
        <is>
          <t>Cái</t>
        </is>
      </c>
      <c r="D15" s="11" t="n">
        <v>4</v>
      </c>
      <c r="E15" s="9" t="n"/>
      <c r="F15" s="9" t="n"/>
      <c r="G15" s="10">
        <f>D15*E15</f>
        <v/>
      </c>
      <c r="H15" s="10">
        <f>D15*F15</f>
        <v/>
      </c>
      <c r="I15" s="10">
        <f>G15+H15</f>
        <v/>
      </c>
      <c r="J15" s="7" t="inlineStr">
        <is>
          <t>Sơ đồ nguyên lý SC-01: 1 cái cho mỗi khối nhà</t>
        </is>
      </c>
    </row>
    <row r="16">
      <c r="A16" s="12" t="n"/>
      <c r="B16" s="13" t="inlineStr">
        <is>
          <t>TỔNG CỘNG (chưa VAT)</t>
        </is>
      </c>
      <c r="C16" s="12" t="n"/>
      <c r="D16" s="12" t="n"/>
      <c r="E16" s="12" t="n"/>
      <c r="F16" s="12" t="n"/>
      <c r="G16" s="14">
        <f>SUM(G6:G15)</f>
        <v/>
      </c>
      <c r="H16" s="14">
        <f>SUM(H6:H15)</f>
        <v/>
      </c>
      <c r="I16" s="14">
        <f>SUM(I6:I15)</f>
        <v/>
      </c>
      <c r="J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2" t="inlineStr">
        <is>
          <t>Chú thích màu: chữ xanh dương = số nhập tay; chữ xanh lá = lấy từ sheet khác; chữ đen = công thức; nền vàng = ô cần nhập đơn giá.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2" t="inlineStr">
        <is>
          <t>Khối lượng aptomat và hộp đấu dây lấy theo sơ đồ nguyên lý SC-01, vì mặt bằng không thể hiện các thiết bị này.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2" t="inlineStr">
        <is>
          <t>Chưa gồm: dây cấp nguồn từ tủ điện đến từng nhà, phụ kiện ống, VAT, chi phí chung. Chi tiết xem sheet "Boc day - ong".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  <col width="80" customWidth="1" min="4" max="4"/>
  </cols>
  <sheetData>
    <row r="1">
      <c r="A1" s="1" t="inlineStr">
        <is>
          <t>THÔNG SỐ GIẢ ĐỊNH</t>
        </is>
      </c>
    </row>
    <row r="2">
      <c r="A2" s="2" t="inlineStr">
        <is>
          <t>Ô chữ xanh dương, nền vàng là giả định: sửa trực tiếp, các sheet khác tự tính lại.</t>
        </is>
      </c>
    </row>
    <row r="4">
      <c r="A4" s="3" t="inlineStr">
        <is>
          <t>Thông số</t>
        </is>
      </c>
      <c r="B4" s="3" t="inlineStr">
        <is>
          <t>Giá trị</t>
        </is>
      </c>
      <c r="C4" s="3" t="inlineStr">
        <is>
          <t>Đơn vị</t>
        </is>
      </c>
      <c r="D4" s="3" t="inlineStr">
        <is>
          <t>Ghi chú</t>
        </is>
      </c>
    </row>
    <row r="5">
      <c r="A5" s="16" t="inlineStr">
        <is>
          <t>Dây xuống/đấu nối mỗi thiết bị</t>
        </is>
      </c>
      <c r="B5" s="17" t="n">
        <v>0.5</v>
      </c>
      <c r="C5" s="16" t="inlineStr">
        <is>
          <t>m/TB</t>
        </is>
      </c>
      <c r="D5" s="7" t="inlineStr">
        <is>
          <t>Giả định: đoạn dây từ tuyến chính xuống đèn và đấu nối, bản vẽ không thể hiện.</t>
        </is>
      </c>
    </row>
    <row r="6">
      <c r="A6" s="16" t="inlineStr">
        <is>
          <t>Hao hụt dây điện</t>
        </is>
      </c>
      <c r="B6" s="18" t="n">
        <v>0.03</v>
      </c>
      <c r="C6" s="16" t="inlineStr"/>
      <c r="D6" s="7" t="inlineStr">
        <is>
          <t>Giả định, chỉnh theo định mức áp dụng của dự án.</t>
        </is>
      </c>
    </row>
    <row r="7">
      <c r="A7" s="16" t="inlineStr">
        <is>
          <t>Hao hụt ống PVC D20</t>
        </is>
      </c>
      <c r="B7" s="18" t="n">
        <v>0.03</v>
      </c>
      <c r="C7" s="16" t="inlineStr"/>
      <c r="D7" s="7" t="inlineStr">
        <is>
          <t>Giả định, chỉnh theo định mức áp dụng của dự án.</t>
        </is>
      </c>
    </row>
    <row r="8">
      <c r="A8" s="16" t="inlineStr">
        <is>
          <t>Tuyến dây tạm tính - Nhà bảo vệ</t>
        </is>
      </c>
      <c r="B8" s="17" t="n">
        <v>4</v>
      </c>
      <c r="C8" s="16" t="inlineStr">
        <is>
          <t>m</t>
        </is>
      </c>
      <c r="D8" s="7" t="inlineStr">
        <is>
          <t>SC-06 không vẽ tuyến dây. Ước tính từ mặt bằng (nhà 4 x 2,8 m, 1 đèn sự cố). Cần kiểm tra lại.</t>
        </is>
      </c>
    </row>
    <row r="9">
      <c r="A9" s="16" t="inlineStr">
        <is>
          <t>Tuyến dây tạm tính - Nhà phụ trợ (bơm, rác)</t>
        </is>
      </c>
      <c r="B9" s="17" t="n">
        <v>10</v>
      </c>
      <c r="C9" s="16" t="inlineStr">
        <is>
          <t>m</t>
        </is>
      </c>
      <c r="D9" s="7" t="inlineStr">
        <is>
          <t>SC-06 không vẽ tuyến dây. Ước tính khoảng 8,2 m nối 3 đèn sự cố, cộng đoạn đấu nguồn. Cần kiểm tra lại.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THỐNG KÊ ĐÈN EXIT - SỰ CỐ THEO MẶT BẰNG</t>
        </is>
      </c>
    </row>
    <row r="2">
      <c r="A2" s="2" t="inlineStr">
        <is>
          <t>Đếm từ bản vẽ SC-02 đến SC-06 (trang 53-57 file PDF). Số lượng nhập tay (chữ xanh dương).</t>
        </is>
      </c>
    </row>
    <row r="4">
      <c r="A4" s="3" t="inlineStr">
        <is>
          <t>Bản vẽ</t>
        </is>
      </c>
      <c r="B4" s="3" t="inlineStr">
        <is>
          <t>Hạng mục</t>
        </is>
      </c>
      <c r="C4" s="3" t="inlineStr">
        <is>
          <t>EXIT 1 mặt không chỉ hướng</t>
        </is>
      </c>
      <c r="D4" s="3" t="inlineStr">
        <is>
          <t>EXIT 2 mặt chỉ 1 hướng</t>
        </is>
      </c>
      <c r="E4" s="3" t="inlineStr">
        <is>
          <t>EXIT 2 mặt chỉ 2 hướng</t>
        </is>
      </c>
      <c r="F4" s="3" t="inlineStr">
        <is>
          <t>Tổng EXIT</t>
        </is>
      </c>
      <c r="G4" s="3" t="inlineStr">
        <is>
          <t>Đèn sự cố EMG</t>
        </is>
      </c>
      <c r="H4" s="3" t="inlineStr">
        <is>
          <t>Bảng SĐCDTN</t>
        </is>
      </c>
      <c r="I4" s="3" t="inlineStr">
        <is>
          <t>Tổng thiết bị đèn</t>
        </is>
      </c>
    </row>
    <row r="5">
      <c r="A5" s="6" t="inlineStr">
        <is>
          <t>SC-02</t>
        </is>
      </c>
      <c r="B5" s="7" t="inlineStr">
        <is>
          <t>Nhà xưởng 1 - tầng 1</t>
        </is>
      </c>
      <c r="C5" s="11" t="n">
        <v>6</v>
      </c>
      <c r="D5" s="11" t="n">
        <v>1</v>
      </c>
      <c r="E5" s="11" t="n">
        <v>2</v>
      </c>
      <c r="F5" s="6">
        <f>SUM(C5:E5)</f>
        <v/>
      </c>
      <c r="G5" s="11" t="n">
        <v>10</v>
      </c>
      <c r="H5" s="11" t="n">
        <v>2</v>
      </c>
      <c r="I5" s="6">
        <f>F5+G5</f>
        <v/>
      </c>
    </row>
    <row r="6">
      <c r="A6" s="6" t="inlineStr">
        <is>
          <t>SC-03</t>
        </is>
      </c>
      <c r="B6" s="7" t="inlineStr">
        <is>
          <t>Nhà xưởng 2 - tầng 1</t>
        </is>
      </c>
      <c r="C6" s="11" t="n">
        <v>6</v>
      </c>
      <c r="D6" s="11" t="n">
        <v>2</v>
      </c>
      <c r="E6" s="11" t="n">
        <v>2</v>
      </c>
      <c r="F6" s="6">
        <f>SUM(C6:E6)</f>
        <v/>
      </c>
      <c r="G6" s="11" t="n">
        <v>10</v>
      </c>
      <c r="H6" s="11" t="n">
        <v>2</v>
      </c>
      <c r="I6" s="6">
        <f>F6+G6</f>
        <v/>
      </c>
    </row>
    <row r="7">
      <c r="A7" s="6" t="inlineStr">
        <is>
          <t>SC-04</t>
        </is>
      </c>
      <c r="B7" s="7" t="inlineStr">
        <is>
          <t>Nhà văn phòng - tầng 1</t>
        </is>
      </c>
      <c r="C7" s="11" t="n">
        <v>1</v>
      </c>
      <c r="D7" s="11" t="n">
        <v>0</v>
      </c>
      <c r="E7" s="11" t="n">
        <v>0</v>
      </c>
      <c r="F7" s="6">
        <f>SUM(C7:E7)</f>
        <v/>
      </c>
      <c r="G7" s="11" t="n">
        <v>5</v>
      </c>
      <c r="H7" s="11" t="n">
        <v>0</v>
      </c>
      <c r="I7" s="6">
        <f>F7+G7</f>
        <v/>
      </c>
    </row>
    <row r="8">
      <c r="A8" s="6" t="inlineStr">
        <is>
          <t>SC-05</t>
        </is>
      </c>
      <c r="B8" s="7" t="inlineStr">
        <is>
          <t>Nhà văn phòng - tầng 2</t>
        </is>
      </c>
      <c r="C8" s="11" t="n">
        <v>1</v>
      </c>
      <c r="D8" s="11" t="n">
        <v>1</v>
      </c>
      <c r="E8" s="11" t="n">
        <v>0</v>
      </c>
      <c r="F8" s="6">
        <f>SUM(C8:E8)</f>
        <v/>
      </c>
      <c r="G8" s="11" t="n">
        <v>4</v>
      </c>
      <c r="H8" s="11" t="n">
        <v>0</v>
      </c>
      <c r="I8" s="6">
        <f>F8+G8</f>
        <v/>
      </c>
    </row>
    <row r="9">
      <c r="A9" s="6" t="inlineStr">
        <is>
          <t>SC-06</t>
        </is>
      </c>
      <c r="B9" s="7" t="inlineStr">
        <is>
          <t>Nhà bảo vệ</t>
        </is>
      </c>
      <c r="C9" s="11" t="n">
        <v>0</v>
      </c>
      <c r="D9" s="11" t="n">
        <v>0</v>
      </c>
      <c r="E9" s="11" t="n">
        <v>0</v>
      </c>
      <c r="F9" s="6">
        <f>SUM(C9:E9)</f>
        <v/>
      </c>
      <c r="G9" s="11" t="n">
        <v>1</v>
      </c>
      <c r="H9" s="11" t="n">
        <v>0</v>
      </c>
      <c r="I9" s="6">
        <f>F9+G9</f>
        <v/>
      </c>
    </row>
    <row r="10">
      <c r="A10" s="6" t="inlineStr">
        <is>
          <t>SC-06</t>
        </is>
      </c>
      <c r="B10" s="7" t="inlineStr">
        <is>
          <t>Nhà phụ trợ (bơm, rác)</t>
        </is>
      </c>
      <c r="C10" s="11" t="n">
        <v>0</v>
      </c>
      <c r="D10" s="11" t="n">
        <v>0</v>
      </c>
      <c r="E10" s="11" t="n">
        <v>0</v>
      </c>
      <c r="F10" s="6">
        <f>SUM(C10:E10)</f>
        <v/>
      </c>
      <c r="G10" s="11" t="n">
        <v>3</v>
      </c>
      <c r="H10" s="11" t="n">
        <v>0</v>
      </c>
      <c r="I10" s="6">
        <f>F10+G10</f>
        <v/>
      </c>
    </row>
    <row r="11">
      <c r="A11" s="12" t="n"/>
      <c r="B11" s="13" t="inlineStr">
        <is>
          <t>TỔNG</t>
        </is>
      </c>
      <c r="C11" s="19">
        <f>SUM(C5:C10)</f>
        <v/>
      </c>
      <c r="D11" s="19">
        <f>SUM(D5:D10)</f>
        <v/>
      </c>
      <c r="E11" s="19">
        <f>SUM(E5:E10)</f>
        <v/>
      </c>
      <c r="F11" s="19">
        <f>SUM(F5:F10)</f>
        <v/>
      </c>
      <c r="G11" s="19">
        <f>SUM(G5:G10)</f>
        <v/>
      </c>
      <c r="H11" s="19">
        <f>SUM(H5:H10)</f>
        <v/>
      </c>
      <c r="I11" s="19">
        <f>SUM(I5:I10)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  <col width="13" customWidth="1" min="8" max="8"/>
    <col width="11" customWidth="1" min="9" max="9"/>
    <col width="44" customWidth="1" min="10" max="10"/>
  </cols>
  <sheetData>
    <row r="1">
      <c r="A1" s="1" t="inlineStr">
        <is>
          <t>BÓC KHỐI LƯỢNG DÂY CẤP NGUỒN 2x1,5mm² VÀ ỐNG PVC D20</t>
        </is>
      </c>
    </row>
    <row r="2">
      <c r="A2" s="2" t="inlineStr">
        <is>
          <t>Chiều dài đo trực tiếp nét dây (màu hồng) trong file PDF. Tỷ lệ quy đổi lấy theo kích thước lưới trục ghi trên bản vẽ.</t>
        </is>
      </c>
    </row>
    <row r="4">
      <c r="A4" s="3" t="inlineStr">
        <is>
          <t>Bản vẽ</t>
        </is>
      </c>
      <c r="B4" s="3" t="inlineStr">
        <is>
          <t>Hạng mục</t>
        </is>
      </c>
      <c r="C4" s="3" t="inlineStr">
        <is>
          <t>Dài nét dây trên bản vẽ (pt)</t>
        </is>
      </c>
      <c r="D4" s="3" t="inlineStr">
        <is>
          <t>Khoảng lưới trục trên bản vẽ (pt)</t>
        </is>
      </c>
      <c r="E4" s="3" t="inlineStr">
        <is>
          <t>Khoảng lưới trục thực (mm)</t>
        </is>
      </c>
      <c r="F4" s="3" t="inlineStr">
        <is>
          <t>Tuyến dây chính (m)</t>
        </is>
      </c>
      <c r="G4" s="3" t="inlineStr">
        <is>
          <t>Số thiết bị (đèn)</t>
        </is>
      </c>
      <c r="H4" s="3" t="inlineStr">
        <is>
          <t>Dây xuống thiết bị (m)</t>
        </is>
      </c>
      <c r="I4" s="3" t="inlineStr">
        <is>
          <t>Cộng (m)</t>
        </is>
      </c>
      <c r="J4" s="3" t="inlineStr">
        <is>
          <t>Ghi chú</t>
        </is>
      </c>
    </row>
    <row r="5">
      <c r="A5" s="6" t="inlineStr">
        <is>
          <t>SC-02</t>
        </is>
      </c>
      <c r="B5" s="7" t="inlineStr">
        <is>
          <t>Nhà xưởng 1 - tầng 1</t>
        </is>
      </c>
      <c r="C5" s="11" t="n">
        <v>1790.1</v>
      </c>
      <c r="D5" s="11" t="n">
        <v>780.7</v>
      </c>
      <c r="E5" s="11" t="n">
        <v>76500</v>
      </c>
      <c r="F5" s="20">
        <f>C5*E5/D5/1000</f>
        <v/>
      </c>
      <c r="G5" s="8">
        <f>'Thong ke den'!I5</f>
        <v/>
      </c>
      <c r="H5" s="20">
        <f>G5*'Thong so'!$B$5</f>
        <v/>
      </c>
      <c r="I5" s="20">
        <f>F5+H5</f>
        <v/>
      </c>
      <c r="J5" s="7" t="inlineStr">
        <is>
          <t>Lưới trục 1-10 = 76.500 mm</t>
        </is>
      </c>
    </row>
    <row r="6">
      <c r="A6" s="6" t="inlineStr">
        <is>
          <t>SC-03</t>
        </is>
      </c>
      <c r="B6" s="7" t="inlineStr">
        <is>
          <t>Nhà xưởng 2 - tầng 1</t>
        </is>
      </c>
      <c r="C6" s="11" t="n">
        <v>1750.5</v>
      </c>
      <c r="D6" s="11" t="n">
        <v>779.3</v>
      </c>
      <c r="E6" s="11" t="n">
        <v>76500</v>
      </c>
      <c r="F6" s="20">
        <f>C6*E6/D6/1000</f>
        <v/>
      </c>
      <c r="G6" s="8">
        <f>'Thong ke den'!I6</f>
        <v/>
      </c>
      <c r="H6" s="20">
        <f>G6*'Thong so'!$B$5</f>
        <v/>
      </c>
      <c r="I6" s="20">
        <f>F6+H6</f>
        <v/>
      </c>
      <c r="J6" s="7" t="inlineStr">
        <is>
          <t>Lưới trục 1-10 = 76.500 mm</t>
        </is>
      </c>
    </row>
    <row r="7">
      <c r="A7" s="6" t="inlineStr">
        <is>
          <t>SC-04</t>
        </is>
      </c>
      <c r="B7" s="7" t="inlineStr">
        <is>
          <t>Nhà văn phòng - tầng 1</t>
        </is>
      </c>
      <c r="C7" s="11" t="n">
        <v>493.2</v>
      </c>
      <c r="D7" s="11" t="n">
        <v>481.9</v>
      </c>
      <c r="E7" s="11" t="n">
        <v>20000</v>
      </c>
      <c r="F7" s="20">
        <f>C7*E7/D7/1000</f>
        <v/>
      </c>
      <c r="G7" s="8">
        <f>'Thong ke den'!I7</f>
        <v/>
      </c>
      <c r="H7" s="20">
        <f>G7*'Thong so'!$B$5</f>
        <v/>
      </c>
      <c r="I7" s="20">
        <f>F7+H7</f>
        <v/>
      </c>
      <c r="J7" s="7" t="inlineStr">
        <is>
          <t>Lưới trục 1-5 = 20.000 mm</t>
        </is>
      </c>
    </row>
    <row r="8">
      <c r="A8" s="6" t="inlineStr">
        <is>
          <t>SC-05</t>
        </is>
      </c>
      <c r="B8" s="7" t="inlineStr">
        <is>
          <t>Nhà văn phòng - tầng 2</t>
        </is>
      </c>
      <c r="C8" s="11" t="n">
        <v>333.8</v>
      </c>
      <c r="D8" s="11" t="n">
        <v>481.9</v>
      </c>
      <c r="E8" s="11" t="n">
        <v>20000</v>
      </c>
      <c r="F8" s="20">
        <f>C8*E8/D8/1000</f>
        <v/>
      </c>
      <c r="G8" s="8">
        <f>'Thong ke den'!I8</f>
        <v/>
      </c>
      <c r="H8" s="20">
        <f>G8*'Thong so'!$B$5</f>
        <v/>
      </c>
      <c r="I8" s="20">
        <f>F8+H8</f>
        <v/>
      </c>
      <c r="J8" s="7" t="inlineStr">
        <is>
          <t>Lưới trục 1-5 = 20.000 mm</t>
        </is>
      </c>
    </row>
    <row r="9">
      <c r="A9" s="6" t="inlineStr">
        <is>
          <t>SC-06</t>
        </is>
      </c>
      <c r="B9" s="7" t="inlineStr">
        <is>
          <t>Nhà bảo vệ</t>
        </is>
      </c>
      <c r="C9" s="6" t="n"/>
      <c r="D9" s="6" t="n"/>
      <c r="E9" s="6" t="n"/>
      <c r="F9" s="21">
        <f>'Thong so'!$B$8</f>
        <v/>
      </c>
      <c r="G9" s="8">
        <f>'Thong ke den'!I9</f>
        <v/>
      </c>
      <c r="H9" s="20">
        <f>G9*'Thong so'!$B$5</f>
        <v/>
      </c>
      <c r="I9" s="20">
        <f>F9+H9</f>
        <v/>
      </c>
      <c r="J9" s="22" t="inlineStr">
        <is>
          <t>TẠM TÍNH: bản vẽ không thể hiện tuyến dây (xem sheet Thông số)</t>
        </is>
      </c>
    </row>
    <row r="10">
      <c r="A10" s="6" t="inlineStr">
        <is>
          <t>SC-06</t>
        </is>
      </c>
      <c r="B10" s="7" t="inlineStr">
        <is>
          <t>Nhà phụ trợ (bơm, rác)</t>
        </is>
      </c>
      <c r="C10" s="6" t="n"/>
      <c r="D10" s="6" t="n"/>
      <c r="E10" s="6" t="n"/>
      <c r="F10" s="21">
        <f>'Thong so'!$B$9</f>
        <v/>
      </c>
      <c r="G10" s="8">
        <f>'Thong ke den'!I10</f>
        <v/>
      </c>
      <c r="H10" s="20">
        <f>G10*'Thong so'!$B$5</f>
        <v/>
      </c>
      <c r="I10" s="20">
        <f>F10+H10</f>
        <v/>
      </c>
      <c r="J10" s="22" t="inlineStr">
        <is>
          <t>TẠM TÍNH: bản vẽ không thể hiện tuyến dây (xem sheet Thông số)</t>
        </is>
      </c>
    </row>
    <row r="11">
      <c r="A11" s="12" t="n"/>
      <c r="B11" s="13" t="inlineStr">
        <is>
          <t>Tổng chiều dài tuyến (chưa hao hụt)</t>
        </is>
      </c>
      <c r="C11" s="12" t="n"/>
      <c r="D11" s="12" t="n"/>
      <c r="E11" s="12" t="n"/>
      <c r="F11" s="12" t="n"/>
      <c r="G11" s="12" t="n"/>
      <c r="H11" s="12" t="n"/>
      <c r="I11" s="23">
        <f>SUM(I5:I10)</f>
        <v/>
      </c>
      <c r="J11" s="12" t="n"/>
    </row>
    <row r="12">
      <c r="A12" s="12" t="n"/>
      <c r="B12" s="13" t="inlineStr">
        <is>
          <t>Dây 2x1,5mm²: cộng hao hụt</t>
        </is>
      </c>
      <c r="C12" s="12" t="n"/>
      <c r="D12" s="12" t="n"/>
      <c r="E12" s="12" t="n"/>
      <c r="F12" s="12" t="n"/>
      <c r="G12" s="12" t="n"/>
      <c r="H12" s="12" t="n"/>
      <c r="I12" s="23">
        <f>I11*(1+'Thong so'!$B$6)</f>
        <v/>
      </c>
      <c r="J12" s="12" t="n"/>
    </row>
    <row r="13">
      <c r="A13" s="12" t="n"/>
      <c r="B13" s="13" t="inlineStr">
        <is>
          <t>Dây 2x1,5mm²: khối lượng đưa vào dự toán (làm tròn lên)</t>
        </is>
      </c>
      <c r="C13" s="12" t="n"/>
      <c r="D13" s="12" t="n"/>
      <c r="E13" s="12" t="n"/>
      <c r="F13" s="12" t="n"/>
      <c r="G13" s="12" t="n"/>
      <c r="H13" s="12" t="n"/>
      <c r="I13" s="24">
        <f>ROUNDUP(I12,0)</f>
        <v/>
      </c>
      <c r="J13" s="12" t="n"/>
    </row>
    <row r="14">
      <c r="A14" s="12" t="n"/>
      <c r="B14" s="13" t="inlineStr">
        <is>
          <t>Ống PVC D20: cộng hao hụt</t>
        </is>
      </c>
      <c r="C14" s="12" t="n"/>
      <c r="D14" s="12" t="n"/>
      <c r="E14" s="12" t="n"/>
      <c r="F14" s="12" t="n"/>
      <c r="G14" s="12" t="n"/>
      <c r="H14" s="12" t="n"/>
      <c r="I14" s="23">
        <f>I11*(1+'Thong so'!$B$7)</f>
        <v/>
      </c>
      <c r="J14" s="12" t="n"/>
    </row>
    <row r="15">
      <c r="A15" s="12" t="n"/>
      <c r="B15" s="13" t="inlineStr">
        <is>
          <t>Ống PVC D20: khối lượng đưa vào dự toán (làm tròn lên)</t>
        </is>
      </c>
      <c r="C15" s="12" t="n"/>
      <c r="D15" s="12" t="n"/>
      <c r="E15" s="12" t="n"/>
      <c r="F15" s="12" t="n"/>
      <c r="G15" s="12" t="n"/>
      <c r="H15" s="12" t="n"/>
      <c r="I15" s="24">
        <f>ROUNDUP(I14,0)</f>
        <v/>
      </c>
      <c r="J15" s="12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25" t="inlineStr">
        <is>
          <t>Lưu ý: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26" t="inlineStr">
        <is>
          <t>- Dây luồn trong ống trên toàn tuyến (theo ký hiệu "Dây cấp nguồn 2x1,5mm² luồn trong ống PVC D20"), nên chiều dài ống lấy bằng chiều dài dây.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26" t="inlineStr">
        <is>
          <t>- Chưa gồm dây cấp nguồn từ tủ điện EXIT-SC (sơ đồ cấp điện trang 63) đến aptomat 10A của từng nhà, vì bản vẽ không ghi tiết diện và tuyến đi.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26" t="inlineStr">
        <is>
          <t>- Chưa gồm phụ kiện ống (kẹp ống, khớp nối, co, hộp nối). Bổ sung theo biện pháp thi công nếu cần.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2026-10-11T08:47:28Z</dcterms:created>
  <dcterms:modified xsi:type="dcterms:W3CDTF">2026-10-11T08:47:28Z</dcterms:modified>
</cp:coreProperties>
</file>